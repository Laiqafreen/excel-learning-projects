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IQ AFREEN\Desktop\Excel Practice\"/>
    </mc:Choice>
  </mc:AlternateContent>
  <xr:revisionPtr revIDLastSave="0" documentId="13_ncr:1_{04626B22-F71F-4FF5-8BA0-CDD65D6E8753}" xr6:coauthVersionLast="47" xr6:coauthVersionMax="47" xr10:uidLastSave="{00000000-0000-0000-0000-000000000000}"/>
  <bookViews>
    <workbookView xWindow="-108" yWindow="-108" windowWidth="23256" windowHeight="13176" xr2:uid="{96065037-2A3F-428E-B198-DAEC9F631E53}"/>
  </bookViews>
  <sheets>
    <sheet name="Expense for a da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1" l="1"/>
  <c r="F4" i="1"/>
  <c r="G4" i="1"/>
  <c r="H4" i="1"/>
  <c r="I4" i="1"/>
  <c r="C23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F9" i="1"/>
  <c r="F5" i="1"/>
  <c r="E17" i="1"/>
  <c r="E5" i="1"/>
  <c r="E6" i="1"/>
  <c r="E7" i="1"/>
  <c r="E8" i="1"/>
  <c r="E9" i="1"/>
  <c r="E10" i="1"/>
  <c r="E11" i="1"/>
  <c r="E12" i="1"/>
  <c r="E13" i="1"/>
  <c r="E14" i="1"/>
  <c r="E15" i="1"/>
  <c r="E16" i="1"/>
  <c r="E18" i="1"/>
  <c r="F14" i="1"/>
  <c r="F6" i="1"/>
  <c r="F7" i="1"/>
  <c r="F8" i="1"/>
  <c r="F10" i="1"/>
  <c r="F11" i="1"/>
  <c r="F12" i="1"/>
  <c r="F13" i="1"/>
  <c r="F15" i="1"/>
  <c r="F16" i="1"/>
  <c r="F17" i="1"/>
  <c r="F18" i="1"/>
  <c r="C22" i="1"/>
  <c r="C28" i="1" l="1"/>
  <c r="C26" i="1"/>
  <c r="C24" i="1"/>
  <c r="C27" i="1"/>
  <c r="C25" i="1"/>
  <c r="D25" i="1" l="1"/>
  <c r="D27" i="1"/>
  <c r="D24" i="1"/>
  <c r="D26" i="1"/>
  <c r="D28" i="1"/>
</calcChain>
</file>

<file path=xl/sharedStrings.xml><?xml version="1.0" encoding="utf-8"?>
<sst xmlns="http://schemas.openxmlformats.org/spreadsheetml/2006/main" count="52" uniqueCount="34">
  <si>
    <t>S.no</t>
  </si>
  <si>
    <t>Description</t>
  </si>
  <si>
    <t>Expense Type</t>
  </si>
  <si>
    <t xml:space="preserve">Amount </t>
  </si>
  <si>
    <t>Tea</t>
  </si>
  <si>
    <t>Uber Bike</t>
  </si>
  <si>
    <t>Metro Ticket</t>
  </si>
  <si>
    <t>Data Add-on</t>
  </si>
  <si>
    <t>Myntra Order</t>
  </si>
  <si>
    <t>ICCI Mutual Fund</t>
  </si>
  <si>
    <t>Food</t>
  </si>
  <si>
    <t>Travel</t>
  </si>
  <si>
    <t>Recharge</t>
  </si>
  <si>
    <t>Spotify Membership</t>
  </si>
  <si>
    <t>Investement</t>
  </si>
  <si>
    <t>Zerogadha</t>
  </si>
  <si>
    <t>Investment</t>
  </si>
  <si>
    <t>Parcel</t>
  </si>
  <si>
    <t>Zepto Order</t>
  </si>
  <si>
    <t>Blinkit Order</t>
  </si>
  <si>
    <t>Breakfast</t>
  </si>
  <si>
    <t>Lunch</t>
  </si>
  <si>
    <t>Expense on food</t>
  </si>
  <si>
    <t>Expense on Travel</t>
  </si>
  <si>
    <t>Expense on Parcel</t>
  </si>
  <si>
    <t>Expense on Recharge</t>
  </si>
  <si>
    <t>Expense on Investment</t>
  </si>
  <si>
    <t>Amount</t>
  </si>
  <si>
    <t>Percentage</t>
  </si>
  <si>
    <t>Average of Expenses</t>
  </si>
  <si>
    <t>Total Expenses</t>
  </si>
  <si>
    <t>-</t>
  </si>
  <si>
    <t># Expense Tracker of a day</t>
  </si>
  <si>
    <t># Quick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</si>
</sst>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b/>
      <i/>
      <sz val="2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966FF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66FF"/>
      <color rgb="FFCC00FF"/>
      <color rgb="FFCCCCFF"/>
      <color rgb="FF99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AFDA6-29DC-4643-9BE8-8EB3DF78B374}">
  <sheetPr>
    <tabColor rgb="FF9966FF"/>
  </sheetPr>
  <dimension ref="A1:I28"/>
  <sheetViews>
    <sheetView tabSelected="1" zoomScale="103" workbookViewId="0">
      <selection activeCell="G27" sqref="G27"/>
    </sheetView>
  </sheetViews>
  <sheetFormatPr defaultColWidth="15.77734375" defaultRowHeight="14.4" x14ac:dyDescent="0.3"/>
  <cols>
    <col min="1" max="1" width="8.6640625" customWidth="1"/>
    <col min="2" max="2" width="22.6640625" customWidth="1"/>
    <col min="4" max="4" width="11.21875" customWidth="1"/>
    <col min="10" max="10" width="24.109375" customWidth="1"/>
    <col min="11" max="11" width="10.33203125" customWidth="1"/>
  </cols>
  <sheetData>
    <row r="1" spans="1:9" ht="44.4" customHeight="1" x14ac:dyDescent="0.3">
      <c r="B1" s="15" t="s">
        <v>32</v>
      </c>
    </row>
    <row r="2" spans="1:9" ht="15" thickBot="1" x14ac:dyDescent="0.35"/>
    <row r="3" spans="1:9" ht="16.2" thickBot="1" x14ac:dyDescent="0.35">
      <c r="A3" s="1" t="s">
        <v>0</v>
      </c>
      <c r="B3" s="2" t="s">
        <v>1</v>
      </c>
      <c r="C3" s="2" t="s">
        <v>2</v>
      </c>
      <c r="D3" s="2" t="s">
        <v>3</v>
      </c>
      <c r="E3" s="2" t="s">
        <v>10</v>
      </c>
      <c r="F3" s="2" t="s">
        <v>11</v>
      </c>
      <c r="G3" s="2" t="s">
        <v>16</v>
      </c>
      <c r="H3" s="2" t="s">
        <v>12</v>
      </c>
      <c r="I3" s="3" t="s">
        <v>17</v>
      </c>
    </row>
    <row r="4" spans="1:9" x14ac:dyDescent="0.3">
      <c r="A4" s="4">
        <v>1</v>
      </c>
      <c r="B4" s="5" t="s">
        <v>4</v>
      </c>
      <c r="C4" s="5" t="s">
        <v>10</v>
      </c>
      <c r="D4" s="5">
        <v>15</v>
      </c>
      <c r="E4" s="5">
        <f>COUNTIF($C4,"food")*$D4</f>
        <v>15</v>
      </c>
      <c r="F4" s="5">
        <f>COUNTIF($C4,"Travel")*$D4</f>
        <v>0</v>
      </c>
      <c r="G4" s="5">
        <f>COUNTIF($C4,"Investment")*$D4</f>
        <v>0</v>
      </c>
      <c r="H4" s="5">
        <f>COUNTIF($C4,"Recharge")*$D4</f>
        <v>0</v>
      </c>
      <c r="I4" s="6">
        <f>COUNTIF($C4,"Parcel")*$D4</f>
        <v>0</v>
      </c>
    </row>
    <row r="5" spans="1:9" x14ac:dyDescent="0.3">
      <c r="A5" s="7">
        <v>2</v>
      </c>
      <c r="B5" s="8" t="s">
        <v>20</v>
      </c>
      <c r="C5" s="8" t="s">
        <v>10</v>
      </c>
      <c r="D5" s="8">
        <v>150</v>
      </c>
      <c r="E5" s="8">
        <f t="shared" ref="E5:E18" si="0">COUNTIF($C5,"food")*$D5</f>
        <v>150</v>
      </c>
      <c r="F5" s="8">
        <f>COUNTIF($C5,"Travel")*$D5</f>
        <v>0</v>
      </c>
      <c r="G5" s="8">
        <f t="shared" ref="G5:G18" si="1">COUNTIF($C5,"Investment")*$D5</f>
        <v>0</v>
      </c>
      <c r="H5" s="8">
        <f t="shared" ref="H5:H18" si="2">COUNTIF($C5,"Recharge")*$D5</f>
        <v>0</v>
      </c>
      <c r="I5" s="9">
        <f t="shared" ref="I5:I18" si="3">COUNTIF($C5,"Parcel")*$D5</f>
        <v>0</v>
      </c>
    </row>
    <row r="6" spans="1:9" x14ac:dyDescent="0.3">
      <c r="A6" s="7">
        <v>3</v>
      </c>
      <c r="B6" s="8" t="s">
        <v>5</v>
      </c>
      <c r="C6" s="8" t="s">
        <v>11</v>
      </c>
      <c r="D6" s="8">
        <v>30</v>
      </c>
      <c r="E6" s="8">
        <f t="shared" si="0"/>
        <v>0</v>
      </c>
      <c r="F6" s="8">
        <f t="shared" ref="F6:F18" si="4">COUNTIF($C6,"Travel")*$D6</f>
        <v>30</v>
      </c>
      <c r="G6" s="8">
        <f t="shared" si="1"/>
        <v>0</v>
      </c>
      <c r="H6" s="8">
        <f t="shared" si="2"/>
        <v>0</v>
      </c>
      <c r="I6" s="9">
        <f t="shared" si="3"/>
        <v>0</v>
      </c>
    </row>
    <row r="7" spans="1:9" x14ac:dyDescent="0.3">
      <c r="A7" s="7">
        <v>4</v>
      </c>
      <c r="B7" s="8" t="s">
        <v>6</v>
      </c>
      <c r="C7" s="8" t="s">
        <v>11</v>
      </c>
      <c r="D7" s="8">
        <v>52</v>
      </c>
      <c r="E7" s="8">
        <f t="shared" si="0"/>
        <v>0</v>
      </c>
      <c r="F7" s="8">
        <f t="shared" si="4"/>
        <v>52</v>
      </c>
      <c r="G7" s="8">
        <f t="shared" si="1"/>
        <v>0</v>
      </c>
      <c r="H7" s="8">
        <f t="shared" si="2"/>
        <v>0</v>
      </c>
      <c r="I7" s="9">
        <f t="shared" si="3"/>
        <v>0</v>
      </c>
    </row>
    <row r="8" spans="1:9" x14ac:dyDescent="0.3">
      <c r="A8" s="7">
        <v>5</v>
      </c>
      <c r="B8" s="8" t="s">
        <v>7</v>
      </c>
      <c r="C8" s="8" t="s">
        <v>12</v>
      </c>
      <c r="D8" s="8">
        <v>119</v>
      </c>
      <c r="E8" s="8">
        <f t="shared" si="0"/>
        <v>0</v>
      </c>
      <c r="F8" s="8">
        <f t="shared" si="4"/>
        <v>0</v>
      </c>
      <c r="G8" s="8">
        <f t="shared" si="1"/>
        <v>0</v>
      </c>
      <c r="H8" s="8">
        <f t="shared" si="2"/>
        <v>119</v>
      </c>
      <c r="I8" s="9">
        <f t="shared" si="3"/>
        <v>0</v>
      </c>
    </row>
    <row r="9" spans="1:9" x14ac:dyDescent="0.3">
      <c r="A9" s="7">
        <v>6</v>
      </c>
      <c r="B9" s="8" t="s">
        <v>21</v>
      </c>
      <c r="C9" s="8" t="s">
        <v>10</v>
      </c>
      <c r="D9" s="8">
        <v>250</v>
      </c>
      <c r="E9" s="8">
        <f t="shared" si="0"/>
        <v>250</v>
      </c>
      <c r="F9" s="8">
        <f>COUNTIF($C9,"Travel")*$D9</f>
        <v>0</v>
      </c>
      <c r="G9" s="8">
        <f t="shared" si="1"/>
        <v>0</v>
      </c>
      <c r="H9" s="8">
        <f t="shared" si="2"/>
        <v>0</v>
      </c>
      <c r="I9" s="9">
        <f t="shared" si="3"/>
        <v>0</v>
      </c>
    </row>
    <row r="10" spans="1:9" x14ac:dyDescent="0.3">
      <c r="A10" s="7">
        <v>7</v>
      </c>
      <c r="B10" s="8" t="s">
        <v>4</v>
      </c>
      <c r="C10" s="8" t="s">
        <v>10</v>
      </c>
      <c r="D10" s="8">
        <v>15</v>
      </c>
      <c r="E10" s="8">
        <f t="shared" si="0"/>
        <v>15</v>
      </c>
      <c r="F10" s="8">
        <f t="shared" si="4"/>
        <v>0</v>
      </c>
      <c r="G10" s="8">
        <f t="shared" si="1"/>
        <v>0</v>
      </c>
      <c r="H10" s="8">
        <f t="shared" si="2"/>
        <v>0</v>
      </c>
      <c r="I10" s="9">
        <f t="shared" si="3"/>
        <v>0</v>
      </c>
    </row>
    <row r="11" spans="1:9" x14ac:dyDescent="0.3">
      <c r="A11" s="7">
        <v>8</v>
      </c>
      <c r="B11" s="8" t="s">
        <v>8</v>
      </c>
      <c r="C11" s="8" t="s">
        <v>17</v>
      </c>
      <c r="D11" s="8">
        <v>890</v>
      </c>
      <c r="E11" s="8">
        <f t="shared" si="0"/>
        <v>0</v>
      </c>
      <c r="F11" s="8">
        <f t="shared" si="4"/>
        <v>0</v>
      </c>
      <c r="G11" s="8">
        <f t="shared" si="1"/>
        <v>0</v>
      </c>
      <c r="H11" s="8">
        <f t="shared" si="2"/>
        <v>0</v>
      </c>
      <c r="I11" s="9">
        <f t="shared" si="3"/>
        <v>890</v>
      </c>
    </row>
    <row r="12" spans="1:9" x14ac:dyDescent="0.3">
      <c r="A12" s="7">
        <v>9</v>
      </c>
      <c r="B12" s="8" t="s">
        <v>9</v>
      </c>
      <c r="C12" s="8" t="s">
        <v>14</v>
      </c>
      <c r="D12" s="8">
        <v>3000</v>
      </c>
      <c r="E12" s="8">
        <f t="shared" si="0"/>
        <v>0</v>
      </c>
      <c r="F12" s="8">
        <f t="shared" si="4"/>
        <v>0</v>
      </c>
      <c r="G12" s="8">
        <f t="shared" si="1"/>
        <v>0</v>
      </c>
      <c r="H12" s="8">
        <f t="shared" si="2"/>
        <v>0</v>
      </c>
      <c r="I12" s="9">
        <f t="shared" si="3"/>
        <v>0</v>
      </c>
    </row>
    <row r="13" spans="1:9" x14ac:dyDescent="0.3">
      <c r="A13" s="7">
        <v>10</v>
      </c>
      <c r="B13" s="8" t="s">
        <v>15</v>
      </c>
      <c r="C13" s="8" t="s">
        <v>16</v>
      </c>
      <c r="D13" s="8">
        <v>1000</v>
      </c>
      <c r="E13" s="8">
        <f t="shared" si="0"/>
        <v>0</v>
      </c>
      <c r="F13" s="8">
        <f t="shared" si="4"/>
        <v>0</v>
      </c>
      <c r="G13" s="8">
        <f t="shared" si="1"/>
        <v>1000</v>
      </c>
      <c r="H13" s="8">
        <f t="shared" si="2"/>
        <v>0</v>
      </c>
      <c r="I13" s="9">
        <f t="shared" si="3"/>
        <v>0</v>
      </c>
    </row>
    <row r="14" spans="1:9" x14ac:dyDescent="0.3">
      <c r="A14" s="7">
        <v>11</v>
      </c>
      <c r="B14" s="8" t="s">
        <v>5</v>
      </c>
      <c r="C14" s="8" t="s">
        <v>11</v>
      </c>
      <c r="D14" s="8">
        <v>30</v>
      </c>
      <c r="E14" s="8">
        <f t="shared" si="0"/>
        <v>0</v>
      </c>
      <c r="F14" s="8">
        <f>COUNTIF($C14,"Travel")*$D14</f>
        <v>30</v>
      </c>
      <c r="G14" s="8">
        <f t="shared" si="1"/>
        <v>0</v>
      </c>
      <c r="H14" s="8">
        <f t="shared" si="2"/>
        <v>0</v>
      </c>
      <c r="I14" s="9">
        <f t="shared" si="3"/>
        <v>0</v>
      </c>
    </row>
    <row r="15" spans="1:9" x14ac:dyDescent="0.3">
      <c r="A15" s="7">
        <v>12</v>
      </c>
      <c r="B15" s="8" t="s">
        <v>6</v>
      </c>
      <c r="C15" s="8" t="s">
        <v>11</v>
      </c>
      <c r="D15" s="8">
        <v>52</v>
      </c>
      <c r="E15" s="8">
        <f t="shared" si="0"/>
        <v>0</v>
      </c>
      <c r="F15" s="8">
        <f t="shared" si="4"/>
        <v>52</v>
      </c>
      <c r="G15" s="8">
        <f t="shared" si="1"/>
        <v>0</v>
      </c>
      <c r="H15" s="8">
        <f t="shared" si="2"/>
        <v>0</v>
      </c>
      <c r="I15" s="9">
        <f t="shared" si="3"/>
        <v>0</v>
      </c>
    </row>
    <row r="16" spans="1:9" x14ac:dyDescent="0.3">
      <c r="A16" s="7">
        <v>13</v>
      </c>
      <c r="B16" s="8" t="s">
        <v>13</v>
      </c>
      <c r="C16" s="8" t="s">
        <v>12</v>
      </c>
      <c r="D16" s="8">
        <v>199</v>
      </c>
      <c r="E16" s="8">
        <f t="shared" si="0"/>
        <v>0</v>
      </c>
      <c r="F16" s="8">
        <f t="shared" si="4"/>
        <v>0</v>
      </c>
      <c r="G16" s="8">
        <f t="shared" si="1"/>
        <v>0</v>
      </c>
      <c r="H16" s="8">
        <f t="shared" si="2"/>
        <v>199</v>
      </c>
      <c r="I16" s="9">
        <f t="shared" si="3"/>
        <v>0</v>
      </c>
    </row>
    <row r="17" spans="1:9" x14ac:dyDescent="0.3">
      <c r="A17" s="7">
        <v>14</v>
      </c>
      <c r="B17" s="8" t="s">
        <v>19</v>
      </c>
      <c r="C17" s="8" t="s">
        <v>17</v>
      </c>
      <c r="D17" s="8">
        <v>256</v>
      </c>
      <c r="E17" s="8">
        <f>COUNTIF($C17,"food")*$D17</f>
        <v>0</v>
      </c>
      <c r="F17" s="8">
        <f t="shared" si="4"/>
        <v>0</v>
      </c>
      <c r="G17" s="8">
        <f t="shared" si="1"/>
        <v>0</v>
      </c>
      <c r="H17" s="8">
        <f t="shared" si="2"/>
        <v>0</v>
      </c>
      <c r="I17" s="9">
        <f t="shared" si="3"/>
        <v>256</v>
      </c>
    </row>
    <row r="18" spans="1:9" ht="15" thickBot="1" x14ac:dyDescent="0.35">
      <c r="A18" s="10">
        <v>15</v>
      </c>
      <c r="B18" s="11" t="s">
        <v>18</v>
      </c>
      <c r="C18" s="11" t="s">
        <v>17</v>
      </c>
      <c r="D18" s="11">
        <v>167</v>
      </c>
      <c r="E18" s="11">
        <f t="shared" si="0"/>
        <v>0</v>
      </c>
      <c r="F18" s="11">
        <f t="shared" si="4"/>
        <v>0</v>
      </c>
      <c r="G18" s="11">
        <f t="shared" si="1"/>
        <v>0</v>
      </c>
      <c r="H18" s="11">
        <f t="shared" si="2"/>
        <v>0</v>
      </c>
      <c r="I18" s="12">
        <f t="shared" si="3"/>
        <v>167</v>
      </c>
    </row>
    <row r="19" spans="1:9" ht="28.2" customHeight="1" x14ac:dyDescent="0.3"/>
    <row r="20" spans="1:9" ht="38.4" customHeight="1" x14ac:dyDescent="0.3">
      <c r="B20" s="16" t="s">
        <v>33</v>
      </c>
    </row>
    <row r="21" spans="1:9" ht="15.6" x14ac:dyDescent="0.3">
      <c r="B21" s="14"/>
      <c r="C21" s="14" t="s">
        <v>27</v>
      </c>
      <c r="D21" s="14" t="s">
        <v>28</v>
      </c>
    </row>
    <row r="22" spans="1:9" x14ac:dyDescent="0.3">
      <c r="B22" s="13" t="s">
        <v>30</v>
      </c>
      <c r="C22" s="13">
        <f>SUM(D4:D18)</f>
        <v>6225</v>
      </c>
      <c r="D22" s="13" t="s">
        <v>31</v>
      </c>
    </row>
    <row r="23" spans="1:9" x14ac:dyDescent="0.3">
      <c r="B23" s="13" t="s">
        <v>29</v>
      </c>
      <c r="C23" s="13">
        <f>AVERAGE(D4:D18)</f>
        <v>415</v>
      </c>
      <c r="D23" s="13" t="s">
        <v>31</v>
      </c>
    </row>
    <row r="24" spans="1:9" x14ac:dyDescent="0.3">
      <c r="B24" s="13" t="s">
        <v>22</v>
      </c>
      <c r="C24" s="13">
        <f>SUM(E:E)</f>
        <v>430</v>
      </c>
      <c r="D24" s="13">
        <f>100*C24/SUM($C$24:$C$28)</f>
        <v>18.228062738448497</v>
      </c>
    </row>
    <row r="25" spans="1:9" x14ac:dyDescent="0.3">
      <c r="B25" s="13" t="s">
        <v>23</v>
      </c>
      <c r="C25" s="13">
        <f>SUM(F4:F18)</f>
        <v>164</v>
      </c>
      <c r="D25" s="13">
        <f>100*C25/SUM($C$24:$C$28)</f>
        <v>6.9520983467571007</v>
      </c>
    </row>
    <row r="26" spans="1:9" x14ac:dyDescent="0.3">
      <c r="B26" s="13" t="s">
        <v>26</v>
      </c>
      <c r="C26" s="13">
        <f>SUM(F7:F19)</f>
        <v>134</v>
      </c>
      <c r="D26" s="13">
        <f>100*C26/SUM($C$24:$C$28)</f>
        <v>5.6803730394234844</v>
      </c>
    </row>
    <row r="27" spans="1:9" x14ac:dyDescent="0.3">
      <c r="B27" s="13" t="s">
        <v>25</v>
      </c>
      <c r="C27" s="13">
        <f>SUM(H4:H18)</f>
        <v>318</v>
      </c>
      <c r="D27" s="13">
        <f>100*C27/SUM($C$24:$C$28)</f>
        <v>13.480288257736328</v>
      </c>
    </row>
    <row r="28" spans="1:9" x14ac:dyDescent="0.3">
      <c r="B28" s="13" t="s">
        <v>24</v>
      </c>
      <c r="C28" s="13">
        <f>SUM(I7:I19)</f>
        <v>1313</v>
      </c>
      <c r="D28" s="13">
        <f>100*C28/SUM($C$24:$C$28)</f>
        <v>55.65917761763459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 for a day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Afreen Laiq</dc:creator>
  <cp:lastModifiedBy>Afreen Laiq</cp:lastModifiedBy>
  <dcterms:created xsi:type="dcterms:W3CDTF">2026-07-02T07:38:59Z</dcterms:created>
  <dcterms:modified xsi:type="dcterms:W3CDTF">2026-07-02T08:58:14Z</dcterms:modified>
</cp:coreProperties>
</file>